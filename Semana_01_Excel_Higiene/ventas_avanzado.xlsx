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ol\Desktop\RUTA_DATA_ANALYTICS\Semana_01_Excel_Higiene\"/>
    </mc:Choice>
  </mc:AlternateContent>
  <xr:revisionPtr revIDLastSave="0" documentId="8_{C1A88B3C-A534-4019-9E8A-313CB96EF766}" xr6:coauthVersionLast="47" xr6:coauthVersionMax="47" xr10:uidLastSave="{00000000-0000-0000-0000-000000000000}"/>
  <bookViews>
    <workbookView xWindow="-96" yWindow="-96" windowWidth="23232" windowHeight="12432" xr2:uid="{0BDDC296-7241-4569-B54F-96D10517FE82}"/>
  </bookViews>
  <sheets>
    <sheet name="ventas_avanzado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K2" i="1" s="1"/>
  <c r="H3" i="1"/>
  <c r="H4" i="1"/>
  <c r="H5" i="1"/>
  <c r="H6" i="1"/>
  <c r="H7" i="1"/>
  <c r="H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<sst xmlns="http://schemas.openxmlformats.org/spreadsheetml/2006/main" count="39" uniqueCount="34">
  <si>
    <t>Vendedor_limpio</t>
  </si>
  <si>
    <t>ID_Venta</t>
  </si>
  <si>
    <t>Fecha</t>
  </si>
  <si>
    <t>Vendedor</t>
  </si>
  <si>
    <t>Categoria</t>
  </si>
  <si>
    <t>Monto</t>
  </si>
  <si>
    <t>Estatus</t>
  </si>
  <si>
    <t>V-101</t>
  </si>
  <si>
    <t xml:space="preserve">  pedro PEREZ </t>
  </si>
  <si>
    <t>Tecnologia</t>
  </si>
  <si>
    <t>150.00</t>
  </si>
  <si>
    <t>Completado</t>
  </si>
  <si>
    <t>V-102</t>
  </si>
  <si>
    <t>MARIA gomez</t>
  </si>
  <si>
    <t xml:space="preserve">Tecnologia </t>
  </si>
  <si>
    <t>200.50</t>
  </si>
  <si>
    <t>V-103</t>
  </si>
  <si>
    <t>pedro perez</t>
  </si>
  <si>
    <t>Repuestos</t>
  </si>
  <si>
    <t>50.00</t>
  </si>
  <si>
    <t>Devuelto</t>
  </si>
  <si>
    <t>V-104</t>
  </si>
  <si>
    <t xml:space="preserve">  Carlos Sosa</t>
  </si>
  <si>
    <t xml:space="preserve"> TECNOLOGIA</t>
  </si>
  <si>
    <t>310.00</t>
  </si>
  <si>
    <t>V-105</t>
  </si>
  <si>
    <t>maria GOMEZ</t>
  </si>
  <si>
    <t>120.00</t>
  </si>
  <si>
    <t>V-106</t>
  </si>
  <si>
    <t>Carlos Sosa</t>
  </si>
  <si>
    <t>0.00</t>
  </si>
  <si>
    <t>Pendiente</t>
  </si>
  <si>
    <t>Categoria_limpia</t>
  </si>
  <si>
    <t>Monto_Neto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</si>
</sst>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067D-118A-4373-BCAA-3D0D2AAD7495}">
  <dimension ref="A1:K7"/>
  <sheetViews>
    <sheetView tabSelected="1" workbookViewId="0">
      <selection activeCell="L22" sqref="L22"/>
    </sheetView>
  </sheetViews>
  <sheetFormatPr baseColWidth="10" defaultRowHeight="14.4" x14ac:dyDescent="0.55000000000000004"/>
  <cols>
    <col min="7" max="8" width="13.47265625" customWidth="1"/>
  </cols>
  <sheetData>
    <row r="1" spans="1:11" x14ac:dyDescent="0.5500000000000000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32</v>
      </c>
      <c r="I1" t="s">
        <v>33</v>
      </c>
    </row>
    <row r="2" spans="1:11" x14ac:dyDescent="0.55000000000000004">
      <c r="A2" t="s">
        <v>7</v>
      </c>
      <c r="B2" s="1">
        <v>46082</v>
      </c>
      <c r="C2" t="s">
        <v>8</v>
      </c>
      <c r="D2" t="s">
        <v>9</v>
      </c>
      <c r="E2" t="s">
        <v>10</v>
      </c>
      <c r="F2" t="s">
        <v>11</v>
      </c>
      <c r="G2" t="str">
        <f>PROPER(TRIM(C2))</f>
        <v>Pedro Perez</v>
      </c>
      <c r="H2" t="str">
        <f>UPPER(TRIM(D2))</f>
        <v>TECNOLOGIA</v>
      </c>
      <c r="I2" s="2">
        <f>IF(F2="Completado", VALUE(SUBSTITUTE(E2, ".", ",")), 0)</f>
        <v>150</v>
      </c>
      <c r="K2">
        <f>SUMIFS(I2:I7, G2:G7, "Pedro Perez", H2:H7, "TECNOLOGIA")</f>
        <v>150</v>
      </c>
    </row>
    <row r="3" spans="1:11" x14ac:dyDescent="0.55000000000000004">
      <c r="A3" t="s">
        <v>12</v>
      </c>
      <c r="B3" s="1">
        <v>46083</v>
      </c>
      <c r="C3" t="s">
        <v>13</v>
      </c>
      <c r="D3" t="s">
        <v>14</v>
      </c>
      <c r="E3" t="s">
        <v>15</v>
      </c>
      <c r="F3" t="s">
        <v>11</v>
      </c>
      <c r="G3" t="str">
        <f t="shared" ref="G3:G7" si="0">PROPER(TRIM(C3))</f>
        <v>Maria Gomez</v>
      </c>
      <c r="H3" t="str">
        <f t="shared" ref="H3:H7" si="1">UPPER(TRIM(D3))</f>
        <v>TECNOLOGIA</v>
      </c>
      <c r="I3" s="2">
        <f t="shared" ref="I3:I7" si="2">IF(F3="Completado", VALUE(SUBSTITUTE(E3, ".", ",")), 0)</f>
        <v>200.5</v>
      </c>
    </row>
    <row r="4" spans="1:11" x14ac:dyDescent="0.55000000000000004">
      <c r="A4" t="s">
        <v>16</v>
      </c>
      <c r="B4" s="1">
        <v>46084</v>
      </c>
      <c r="C4" t="s">
        <v>17</v>
      </c>
      <c r="D4" t="s">
        <v>18</v>
      </c>
      <c r="E4" t="s">
        <v>19</v>
      </c>
      <c r="F4" t="s">
        <v>20</v>
      </c>
      <c r="G4" t="str">
        <f t="shared" si="0"/>
        <v>Pedro Perez</v>
      </c>
      <c r="H4" t="str">
        <f t="shared" si="1"/>
        <v>REPUESTOS</v>
      </c>
      <c r="I4" s="2">
        <f t="shared" si="2"/>
        <v>0</v>
      </c>
    </row>
    <row r="5" spans="1:11" x14ac:dyDescent="0.55000000000000004">
      <c r="A5" t="s">
        <v>21</v>
      </c>
      <c r="B5" s="1">
        <v>46085</v>
      </c>
      <c r="C5" t="s">
        <v>22</v>
      </c>
      <c r="D5" t="s">
        <v>23</v>
      </c>
      <c r="E5" t="s">
        <v>24</v>
      </c>
      <c r="F5" t="s">
        <v>11</v>
      </c>
      <c r="G5" t="str">
        <f t="shared" si="0"/>
        <v>Carlos Sosa</v>
      </c>
      <c r="H5" t="str">
        <f t="shared" si="1"/>
        <v>TECNOLOGIA</v>
      </c>
      <c r="I5" s="2">
        <f t="shared" si="2"/>
        <v>310</v>
      </c>
    </row>
    <row r="6" spans="1:11" x14ac:dyDescent="0.55000000000000004">
      <c r="A6" t="s">
        <v>25</v>
      </c>
      <c r="B6" s="1">
        <v>46086</v>
      </c>
      <c r="C6" t="s">
        <v>26</v>
      </c>
      <c r="D6" t="s">
        <v>18</v>
      </c>
      <c r="E6" t="s">
        <v>27</v>
      </c>
      <c r="F6" t="s">
        <v>11</v>
      </c>
      <c r="G6" t="str">
        <f t="shared" si="0"/>
        <v>Maria Gomez</v>
      </c>
      <c r="H6" t="str">
        <f t="shared" si="1"/>
        <v>REPUESTOS</v>
      </c>
      <c r="I6" s="2">
        <f t="shared" si="2"/>
        <v>120</v>
      </c>
    </row>
    <row r="7" spans="1:11" x14ac:dyDescent="0.55000000000000004">
      <c r="A7" t="s">
        <v>28</v>
      </c>
      <c r="B7" s="1">
        <v>46086</v>
      </c>
      <c r="C7" t="s">
        <v>29</v>
      </c>
      <c r="D7" t="s">
        <v>18</v>
      </c>
      <c r="E7" t="s">
        <v>30</v>
      </c>
      <c r="F7" t="s">
        <v>31</v>
      </c>
      <c r="G7" t="str">
        <f t="shared" si="0"/>
        <v>Carlos Sosa</v>
      </c>
      <c r="H7" t="str">
        <f t="shared" si="1"/>
        <v>REPUESTOS</v>
      </c>
      <c r="I7" s="2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ventas_avanzado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Arnoldo Coy</dc:creator>
  <cp:lastModifiedBy>Arnoldo Coy</cp:lastModifiedBy>
  <dcterms:modified xsi:type="dcterms:W3CDTF">2026-08-04T17:37:39Z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7dd15fab-e745-4773-bd53-a538fd8fd89f</vt:lpwstr>
  </property>
</Properties>
</file>